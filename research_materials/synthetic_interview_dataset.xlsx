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terviews" sheetId="2" state="visible" r:id="rId2"/>
    <sheet xmlns:r="http://schemas.openxmlformats.org/officeDocument/2006/relationships" name="MVP_Test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Field_Guide" sheetId="5" state="visible" r:id="rId5"/>
  </sheets>
  <definedNames>
    <definedName name="_xlnm._FilterDatabase" localSheetId="1" hidden="1">'Interviews'!$A$1:$AB$8</definedName>
    <definedName name="_xlnm._FilterDatabase" localSheetId="2" hidden="1">'MVP_Test'!$A$1:$P$7</definedName>
    <definedName name="_xlnm._FilterDatabase" localSheetId="4" hidden="1">'Field_Guide'!$A$1:$C$44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1B1F24"/>
      <sz val="14"/>
    </font>
    <font>
      <name val="Arial"/>
      <b val="1"/>
      <color rgb="00B45309"/>
      <sz val="11"/>
    </font>
    <font>
      <name val="Arial"/>
      <color rgb="001B1F24"/>
      <sz val="11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4A5361"/>
    </font>
  </fonts>
  <fills count="3">
    <fill>
      <patternFill/>
    </fill>
    <fill>
      <patternFill patternType="gray125"/>
    </fill>
    <fill>
      <patternFill patternType="solid">
        <fgColor rgb="000B5CAD"/>
      </patternFill>
    </fill>
  </fills>
  <borders count="2">
    <border>
      <left/>
      <right/>
      <top/>
      <bottom/>
      <diagonal/>
    </border>
    <border>
      <bottom style="thin">
        <color rgb="00D5DC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1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Synthetic user interview dataset: Google Photos retrieval</t>
        </is>
      </c>
    </row>
    <row r="2">
      <c r="A2" s="2" t="inlineStr">
        <is>
          <t>SYNTHETIC. NOT REAL PARTICIPANTS. Every participant is an AI-written persona used to rehearse the interview guide, the first-failing-node coding and the MVP test protocol. No person was interviewed.</t>
        </is>
      </c>
    </row>
    <row r="3">
      <c r="A3" s="3" t="inlineStr"/>
    </row>
    <row r="4">
      <c r="A4" s="3" t="inlineStr">
        <is>
          <t>Research question: how do people retrieve a photo they remember but cannot precisely describe, and where does that break down?</t>
        </is>
      </c>
    </row>
    <row r="5">
      <c r="A5" s="3" t="inlineStr">
        <is>
          <t>Method: 30-minute remote sessions on the participant's own phone. Part A: recall a recent retrieval incident. Part B: retry it live while thinking aloud. Each task is coded by the first retrieval step that failed.</t>
        </is>
      </c>
    </row>
    <row r="6">
      <c r="A6" s="3" t="inlineStr">
        <is>
          <t>Sample: 6 participants (effortful path 3, failed 1, heavy library 30k+ items 2); 7 observed tasks.</t>
        </is>
      </c>
    </row>
    <row r="7">
      <c r="A7" s="3" t="inlineStr">
        <is>
          <t>MVP test: the same 6 participants; own incident rebuilt in a seeded library; keyword search + timeline vs clue-guided MVP, order counterbalanced; success = right photo within 180 s.</t>
        </is>
      </c>
    </row>
    <row r="8">
      <c r="A8" s="3" t="inlineStr"/>
    </row>
    <row r="9">
      <c r="A9" s="3" t="inlineStr">
        <is>
          <t>Sheets: Interviews (one row per task) · MVP_Test (one row per participant) · Summary (live formulas over both sheets) · Field_Guide (every column explained).</t>
        </is>
      </c>
    </row>
    <row r="10">
      <c r="A10" s="3" t="inlineStr">
        <is>
          <t>Source: generated by research_materials/build_interview_dataset.py; the CSV files hold the same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0" customWidth="1" min="5" max="5"/>
    <col width="13" customWidth="1" min="6" max="6"/>
    <col width="13" customWidth="1" min="7" max="7"/>
    <col width="13" customWidth="1" min="8" max="8"/>
    <col width="13" customWidth="1" min="9" max="9"/>
    <col width="30" customWidth="1" min="10" max="10"/>
    <col width="13" customWidth="1" min="11" max="11"/>
    <col width="44" customWidth="1" min="12" max="12"/>
    <col width="24" customWidth="1" min="13" max="13"/>
    <col width="26" customWidth="1" min="14" max="14"/>
    <col width="20" customWidth="1" min="15" max="15"/>
    <col width="13" customWidth="1" min="16" max="16"/>
    <col width="13" customWidth="1" min="17" max="17"/>
    <col width="28" customWidth="1" min="18" max="18"/>
    <col width="13" customWidth="1" min="19" max="19"/>
    <col width="15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40" customWidth="1" min="27" max="27"/>
    <col width="50" customWidth="1" min="28" max="28"/>
  </cols>
  <sheetData>
    <row r="1">
      <c r="A1" s="4" t="inlineStr">
        <is>
          <t>pid</t>
        </is>
      </c>
      <c r="B1" s="4" t="inlineStr">
        <is>
          <t>task_id</t>
        </is>
      </c>
      <c r="C1" s="4" t="inlineStr">
        <is>
          <t>age</t>
        </is>
      </c>
      <c r="D1" s="4" t="inlineStr">
        <is>
          <t>city</t>
        </is>
      </c>
      <c r="E1" s="4" t="inlineStr">
        <is>
          <t>occupation</t>
        </is>
      </c>
      <c r="F1" s="4" t="inlineStr">
        <is>
          <t>device</t>
        </is>
      </c>
      <c r="G1" s="4" t="inlineStr">
        <is>
          <t>library_items</t>
        </is>
      </c>
      <c r="H1" s="4" t="inlineStr">
        <is>
          <t>search_freq</t>
        </is>
      </c>
      <c r="I1" s="4" t="inlineStr">
        <is>
          <t>screener_group</t>
        </is>
      </c>
      <c r="J1" s="4" t="inlineStr">
        <is>
          <t>task</t>
        </is>
      </c>
      <c r="K1" s="4" t="inlineStr">
        <is>
          <t>object_type</t>
        </is>
      </c>
      <c r="L1" s="4" t="inlineStr">
        <is>
          <t>remembered</t>
        </is>
      </c>
      <c r="M1" s="4" t="inlineStr">
        <is>
          <t>distinctive_clue</t>
        </is>
      </c>
      <c r="N1" s="4" t="inlineStr">
        <is>
          <t>forgotten</t>
        </is>
      </c>
      <c r="O1" s="4" t="inlineStr">
        <is>
          <t>first_query</t>
        </is>
      </c>
      <c r="P1" s="4" t="inlineStr">
        <is>
          <t>used_distinctive</t>
        </is>
      </c>
      <c r="Q1" s="4" t="inlineStr">
        <is>
          <t>queries</t>
        </is>
      </c>
      <c r="R1" s="4" t="inlineStr">
        <is>
          <t>strategies</t>
        </is>
      </c>
      <c r="S1" s="4" t="inlineStr">
        <is>
          <t>time_s</t>
        </is>
      </c>
      <c r="T1" s="4" t="inlineStr">
        <is>
          <t>outcome</t>
        </is>
      </c>
      <c r="U1" s="4" t="inlineStr">
        <is>
          <t>first_failing_node</t>
        </is>
      </c>
      <c r="V1" s="4" t="inlineStr">
        <is>
          <t>secondary_node</t>
        </is>
      </c>
      <c r="W1" s="4" t="inlineStr">
        <is>
          <t>H1_expression</t>
        </is>
      </c>
      <c r="X1" s="4" t="inlineStr">
        <is>
          <t>H2_recognition</t>
        </is>
      </c>
      <c r="Y1" s="4" t="inlineStr">
        <is>
          <t>H3_time_scope</t>
        </is>
      </c>
      <c r="Z1" s="4" t="inlineStr">
        <is>
          <t>H4_unguided_recovery</t>
        </is>
      </c>
      <c r="AA1" s="4" t="inlineStr">
        <is>
          <t>workaround</t>
        </is>
      </c>
      <c r="AB1" s="4" t="inlineStr">
        <is>
          <t>quote</t>
        </is>
      </c>
    </row>
    <row r="2">
      <c r="A2" s="5" t="inlineStr">
        <is>
          <t>P01</t>
        </is>
      </c>
      <c r="B2" s="5" t="inlineStr">
        <is>
          <t>P01-T1</t>
        </is>
      </c>
      <c r="C2" s="5" t="n">
        <v>29</v>
      </c>
      <c r="D2" s="5" t="inlineStr">
        <is>
          <t>Bengaluru</t>
        </is>
      </c>
      <c r="E2" s="5" t="inlineStr">
        <is>
          <t>Product designer</t>
        </is>
      </c>
      <c r="F2" s="5" t="inlineStr">
        <is>
          <t>Android</t>
        </is>
      </c>
      <c r="G2" s="5" t="n">
        <v>22000</v>
      </c>
      <c r="H2" s="5" t="inlineStr">
        <is>
          <t>monthly</t>
        </is>
      </c>
      <c r="I2" s="5" t="inlineStr">
        <is>
          <t>effortful</t>
        </is>
      </c>
      <c r="J2" s="5" t="inlineStr">
        <is>
          <t>Small cafe from a Goa trip</t>
        </is>
      </c>
      <c r="K2" s="5" t="inlineStr">
        <is>
          <t>photo</t>
        </is>
      </c>
      <c r="L2" s="5" t="inlineStr">
        <is>
          <t>Goa trip; end of 2023; friend Rhea in frame; cold coffee; blue door</t>
        </is>
      </c>
      <c r="M2" s="5" t="inlineStr">
        <is>
          <t>blue door</t>
        </is>
      </c>
      <c r="N2" s="5" t="inlineStr">
        <is>
          <t>cafe name; exact date; whose phone</t>
        </is>
      </c>
      <c r="O2" s="5" t="inlineStr">
        <is>
          <t>cafe goa</t>
        </is>
      </c>
      <c r="P2" s="5" t="inlineStr">
        <is>
          <t>N</t>
        </is>
      </c>
      <c r="Q2" s="5" t="n">
        <v>2</v>
      </c>
      <c r="R2" s="5" t="inlineStr">
        <is>
          <t>search;scroll;open-each;other-app</t>
        </is>
      </c>
      <c r="S2" s="5" t="n">
        <v>540</v>
      </c>
      <c r="T2" s="5" t="inlineStr">
        <is>
          <t>found_outside</t>
        </is>
      </c>
      <c r="U2" s="5" t="inlineStr">
        <is>
          <t>D2</t>
        </is>
      </c>
      <c r="V2" s="5" t="inlineStr">
        <is>
          <t>D4</t>
        </is>
      </c>
      <c r="W2" s="5" t="inlineStr">
        <is>
          <t>supported</t>
        </is>
      </c>
      <c r="X2" s="5" t="inlineStr">
        <is>
          <t>supported</t>
        </is>
      </c>
      <c r="Y2" s="5" t="inlineStr">
        <is>
          <t>partial</t>
        </is>
      </c>
      <c r="Z2" s="5" t="inlineStr">
        <is>
          <t>not observed</t>
        </is>
      </c>
      <c r="AA2" s="5" t="inlineStr">
        <is>
          <t>Searched WhatsApp chat with friend for a forwarded copy</t>
        </is>
      </c>
      <c r="AB2" s="5" t="inlineStr">
        <is>
          <t>I type the thing I'd put on an album name, not the thing I actually remember.</t>
        </is>
      </c>
    </row>
    <row r="3">
      <c r="A3" s="5" t="inlineStr">
        <is>
          <t>P02</t>
        </is>
      </c>
      <c r="B3" s="5" t="inlineStr">
        <is>
          <t>P02-T1</t>
        </is>
      </c>
      <c r="C3" s="5" t="n">
        <v>41</v>
      </c>
      <c r="D3" s="5" t="inlineStr">
        <is>
          <t>Pune</t>
        </is>
      </c>
      <c r="E3" s="5" t="inlineStr">
        <is>
          <t>School teacher</t>
        </is>
      </c>
      <c r="F3" s="5" t="inlineStr">
        <is>
          <t>iPhone</t>
        </is>
      </c>
      <c r="G3" s="5" t="n">
        <v>9000</v>
      </c>
      <c r="H3" s="5" t="inlineStr">
        <is>
          <t>rarely</t>
        </is>
      </c>
      <c r="I3" s="5" t="inlineStr">
        <is>
          <t>failed</t>
        </is>
      </c>
      <c r="J3" s="5" t="inlineStr">
        <is>
          <t>Medicine strip with dosage written in pen</t>
        </is>
      </c>
      <c r="K3" s="5" t="inlineStr">
        <is>
          <t>photo</t>
        </is>
      </c>
      <c r="L3" s="5" t="inlineStr">
        <is>
          <t>Fever, monsoon 2024; blister strip; dosage handwritten on box</t>
        </is>
      </c>
      <c r="M3" s="5" t="inlineStr">
        <is>
          <t>pen writing on box</t>
        </is>
      </c>
      <c r="N3" s="5" t="inlineStr">
        <is>
          <t>brand name; month</t>
        </is>
      </c>
      <c r="O3" s="5" t="inlineStr">
        <is>
          <t>medicine</t>
        </is>
      </c>
      <c r="P3" s="5" t="inlineStr">
        <is>
          <t>N</t>
        </is>
      </c>
      <c r="Q3" s="5" t="n">
        <v>2</v>
      </c>
      <c r="R3" s="5" t="inlineStr">
        <is>
          <t>search;scroll</t>
        </is>
      </c>
      <c r="S3" s="5" t="n">
        <v>330</v>
      </c>
      <c r="T3" s="5" t="inlineStr">
        <is>
          <t>not_in_library</t>
        </is>
      </c>
      <c r="U3" s="5" t="inlineStr">
        <is>
          <t>D6</t>
        </is>
      </c>
      <c r="V3" s="5" t="inlineStr"/>
      <c r="W3" s="5" t="inlineStr">
        <is>
          <t>not observed</t>
        </is>
      </c>
      <c r="X3" s="5" t="inlineStr">
        <is>
          <t>not observed</t>
        </is>
      </c>
      <c r="Y3" s="5" t="inlineStr">
        <is>
          <t>not observed</t>
        </is>
      </c>
      <c r="Z3" s="5" t="inlineStr">
        <is>
          <t>not observed</t>
        </is>
      </c>
      <c r="AA3" s="5" t="inlineStr">
        <is>
          <t>Taken in WhatsApp camera, never backed up; found in chat with spouse</t>
        </is>
      </c>
      <c r="AB3" s="5" t="inlineStr">
        <is>
          <t>I assumed Google Photos has everything from my phone.</t>
        </is>
      </c>
    </row>
    <row r="4">
      <c r="A4" s="5" t="inlineStr">
        <is>
          <t>P03</t>
        </is>
      </c>
      <c r="B4" s="5" t="inlineStr">
        <is>
          <t>P03-T2</t>
        </is>
      </c>
      <c r="C4" s="5" t="n">
        <v>34</v>
      </c>
      <c r="D4" s="5" t="inlineStr">
        <is>
          <t>Delhi</t>
        </is>
      </c>
      <c r="E4" s="5" t="inlineStr">
        <is>
          <t>Chartered accountant</t>
        </is>
      </c>
      <c r="F4" s="5" t="inlineStr">
        <is>
          <t>Android</t>
        </is>
      </c>
      <c r="G4" s="5" t="n">
        <v>35000</v>
      </c>
      <c r="H4" s="5" t="inlineStr">
        <is>
          <t>weekly</t>
        </is>
      </c>
      <c r="I4" s="5" t="inlineStr">
        <is>
          <t>heavy_library</t>
        </is>
      </c>
      <c r="J4" s="5" t="inlineStr">
        <is>
          <t>Workshop whiteboard with a funnel diagram</t>
        </is>
      </c>
      <c r="K4" s="5" t="inlineStr">
        <is>
          <t>photo</t>
        </is>
      </c>
      <c r="L4" s="5" t="inlineStr">
        <is>
          <t>Offsite workshop; red and green marker funnel; '2022, before I changed jobs'</t>
        </is>
      </c>
      <c r="M4" s="5" t="inlineStr">
        <is>
          <t>funnel drawing</t>
        </is>
      </c>
      <c r="N4" s="5" t="inlineStr">
        <is>
          <t>words on board; month</t>
        </is>
      </c>
      <c r="O4" s="5" t="inlineStr">
        <is>
          <t>whiteboard</t>
        </is>
      </c>
      <c r="P4" s="5" t="inlineStr">
        <is>
          <t>N</t>
        </is>
      </c>
      <c r="Q4" s="5" t="n">
        <v>3</v>
      </c>
      <c r="R4" s="5" t="inlineStr">
        <is>
          <t>search;date-scrub;scroll;other-app</t>
        </is>
      </c>
      <c r="S4" s="5" t="n">
        <v>360</v>
      </c>
      <c r="T4" s="5" t="inlineStr">
        <is>
          <t>found_outside</t>
        </is>
      </c>
      <c r="U4" s="5" t="inlineStr">
        <is>
          <t>D5</t>
        </is>
      </c>
      <c r="V4" s="5" t="inlineStr">
        <is>
          <t>D3</t>
        </is>
      </c>
      <c r="W4" s="5" t="inlineStr">
        <is>
          <t>partial</t>
        </is>
      </c>
      <c r="X4" s="5" t="inlineStr">
        <is>
          <t>not observed</t>
        </is>
      </c>
      <c r="Y4" s="5" t="inlineStr">
        <is>
          <t>supported</t>
        </is>
      </c>
      <c r="Z4" s="5" t="inlineStr">
        <is>
          <t>supported</t>
        </is>
      </c>
      <c r="AA4" s="5" t="inlineStr">
        <is>
          <t>Messaged the colleague who ran the workshop; photo was from 2021</t>
        </is>
      </c>
      <c r="AB4" s="5" t="inlineStr">
        <is>
          <t>When I set a year I'm basically betting on it. If I'm wrong, I don't know I'm wrong.</t>
        </is>
      </c>
    </row>
    <row r="5">
      <c r="A5" s="5" t="inlineStr">
        <is>
          <t>P03</t>
        </is>
      </c>
      <c r="B5" s="5" t="inlineStr">
        <is>
          <t>P03-T1</t>
        </is>
      </c>
      <c r="C5" s="5" t="n">
        <v>34</v>
      </c>
      <c r="D5" s="5" t="inlineStr">
        <is>
          <t>Delhi</t>
        </is>
      </c>
      <c r="E5" s="5" t="inlineStr">
        <is>
          <t>Chartered accountant</t>
        </is>
      </c>
      <c r="F5" s="5" t="inlineStr">
        <is>
          <t>Android</t>
        </is>
      </c>
      <c r="G5" s="5" t="n">
        <v>35000</v>
      </c>
      <c r="H5" s="5" t="inlineStr">
        <is>
          <t>weekly</t>
        </is>
      </c>
      <c r="I5" s="5" t="inlineStr">
        <is>
          <t>heavy_library</t>
        </is>
      </c>
      <c r="J5" s="5" t="inlineStr">
        <is>
          <t>Page 2 of a rent agreement</t>
        </is>
      </c>
      <c r="K5" s="5" t="inlineStr">
        <is>
          <t>document</t>
        </is>
      </c>
      <c r="L5" s="5" t="inlineStr">
        <is>
          <t>Rent agreement; printed words</t>
        </is>
      </c>
      <c r="M5" s="5" t="inlineStr">
        <is>
          <t>printed title text</t>
        </is>
      </c>
      <c r="N5" s="5" t="inlineStr">
        <is>
          <t>date</t>
        </is>
      </c>
      <c r="O5" s="5" t="inlineStr">
        <is>
          <t>rent agreement</t>
        </is>
      </c>
      <c r="P5" s="5" t="inlineStr">
        <is>
          <t>Y</t>
        </is>
      </c>
      <c r="Q5" s="5" t="n">
        <v>1</v>
      </c>
      <c r="R5" s="5" t="inlineStr">
        <is>
          <t>search</t>
        </is>
      </c>
      <c r="S5" s="5" t="n">
        <v>20</v>
      </c>
      <c r="T5" s="5" t="inlineStr">
        <is>
          <t>found_quick</t>
        </is>
      </c>
      <c r="U5" s="5" t="inlineStr">
        <is>
          <t>none</t>
        </is>
      </c>
      <c r="V5" s="5" t="inlineStr"/>
      <c r="W5" s="5" t="inlineStr">
        <is>
          <t>not observed</t>
        </is>
      </c>
      <c r="X5" s="5" t="inlineStr">
        <is>
          <t>not observed</t>
        </is>
      </c>
      <c r="Y5" s="5" t="inlineStr">
        <is>
          <t>not observed</t>
        </is>
      </c>
      <c r="Z5" s="5" t="inlineStr">
        <is>
          <t>not observed</t>
        </is>
      </c>
      <c r="AA5" s="5" t="inlineStr"/>
      <c r="AB5" s="5" t="inlineStr">
        <is>
          <t>The words were on the page, so it just worked.</t>
        </is>
      </c>
    </row>
    <row r="6">
      <c r="A6" s="5" t="inlineStr">
        <is>
          <t>P04</t>
        </is>
      </c>
      <c r="B6" s="5" t="inlineStr">
        <is>
          <t>P04-T1</t>
        </is>
      </c>
      <c r="C6" s="5" t="n">
        <v>52</v>
      </c>
      <c r="D6" s="5" t="inlineStr">
        <is>
          <t>Jaipur</t>
        </is>
      </c>
      <c r="E6" s="5" t="inlineStr">
        <is>
          <t>Textile shop owner</t>
        </is>
      </c>
      <c r="F6" s="5" t="inlineStr">
        <is>
          <t>Android</t>
        </is>
      </c>
      <c r="G6" s="5" t="n">
        <v>15000</v>
      </c>
      <c r="H6" s="5" t="inlineStr">
        <is>
          <t>never</t>
        </is>
      </c>
      <c r="I6" s="5" t="inlineStr">
        <is>
          <t>effortful</t>
        </is>
      </c>
      <c r="J6" s="5" t="inlineStr">
        <is>
          <t>Grandson's first birthday cake</t>
        </is>
      </c>
      <c r="K6" s="5" t="inlineStr">
        <is>
          <t>photo</t>
        </is>
      </c>
      <c r="L6" s="5" t="inlineStr">
        <is>
          <t>Blue car-shaped cake; at home; yellow shirt; winter ~2 years ago</t>
        </is>
      </c>
      <c r="M6" s="5" t="inlineStr">
        <is>
          <t>car-shaped cake</t>
        </is>
      </c>
      <c r="N6" s="5" t="inlineStr">
        <is>
          <t>date; who took it</t>
        </is>
      </c>
      <c r="O6" s="5" t="inlineStr">
        <is>
          <t>(none - scrolled)</t>
        </is>
      </c>
      <c r="P6" s="5" t="inlineStr">
        <is>
          <t>N</t>
        </is>
      </c>
      <c r="Q6" s="5" t="n">
        <v>0</v>
      </c>
      <c r="R6" s="5" t="inlineStr">
        <is>
          <t>scroll</t>
        </is>
      </c>
      <c r="S6" s="5" t="n">
        <v>360</v>
      </c>
      <c r="T6" s="5" t="inlineStr">
        <is>
          <t>found_effort</t>
        </is>
      </c>
      <c r="U6" s="5" t="inlineStr">
        <is>
          <t>D2</t>
        </is>
      </c>
      <c r="V6" s="5" t="inlineStr"/>
      <c r="W6" s="5" t="inlineStr">
        <is>
          <t>supported</t>
        </is>
      </c>
      <c r="X6" s="5" t="inlineStr">
        <is>
          <t>not observed</t>
        </is>
      </c>
      <c r="Y6" s="5" t="inlineStr">
        <is>
          <t>not observed</t>
        </is>
      </c>
      <c r="Z6" s="5" t="inlineStr">
        <is>
          <t>not observed</t>
        </is>
      </c>
      <c r="AA6" s="5" t="inlineStr">
        <is>
          <t>Scrolls the timeline or asks daughter</t>
        </is>
      </c>
      <c r="AB6" s="5" t="inlineStr">
        <is>
          <t>Search is for when you know the name of the thing.</t>
        </is>
      </c>
    </row>
    <row r="7">
      <c r="A7" s="5" t="inlineStr">
        <is>
          <t>P05</t>
        </is>
      </c>
      <c r="B7" s="5" t="inlineStr">
        <is>
          <t>P05-T1</t>
        </is>
      </c>
      <c r="C7" s="5" t="n">
        <v>24</v>
      </c>
      <c r="D7" s="5" t="inlineStr">
        <is>
          <t>Hyderabad</t>
        </is>
      </c>
      <c r="E7" s="5" t="inlineStr">
        <is>
          <t>Postgraduate student</t>
        </is>
      </c>
      <c r="F7" s="5" t="inlineStr">
        <is>
          <t>Android</t>
        </is>
      </c>
      <c r="G7" s="5" t="n">
        <v>48000</v>
      </c>
      <c r="H7" s="5" t="inlineStr">
        <is>
          <t>daily</t>
        </is>
      </c>
      <c r="I7" s="5" t="inlineStr">
        <is>
          <t>heavy_library</t>
        </is>
      </c>
      <c r="J7" s="5" t="inlineStr">
        <is>
          <t>Exam-season meme screenshot a friend sent</t>
        </is>
      </c>
      <c r="K7" s="5" t="inlineStr">
        <is>
          <t>screenshot</t>
        </is>
      </c>
      <c r="L7" s="5" t="inlineStr">
        <is>
          <t>Gist of joke; cartoon cat; black background; March</t>
        </is>
      </c>
      <c r="M7" s="5" t="inlineStr">
        <is>
          <t>cartoon cat</t>
        </is>
      </c>
      <c r="N7" s="5" t="inlineStr">
        <is>
          <t>exact wording; sender; source app</t>
        </is>
      </c>
      <c r="O7" s="5" t="inlineStr">
        <is>
          <t>syllabus meme</t>
        </is>
      </c>
      <c r="P7" s="5" t="inlineStr">
        <is>
          <t>N</t>
        </is>
      </c>
      <c r="Q7" s="5" t="n">
        <v>5</v>
      </c>
      <c r="R7" s="5" t="inlineStr">
        <is>
          <t>search;rephrase;scroll;other-app</t>
        </is>
      </c>
      <c r="S7" s="5" t="n">
        <v>600</v>
      </c>
      <c r="T7" s="5" t="inlineStr">
        <is>
          <t>found_outside</t>
        </is>
      </c>
      <c r="U7" s="5" t="inlineStr">
        <is>
          <t>D3</t>
        </is>
      </c>
      <c r="V7" s="5" t="inlineStr">
        <is>
          <t>D5</t>
        </is>
      </c>
      <c r="W7" s="5" t="inlineStr">
        <is>
          <t>weakened</t>
        </is>
      </c>
      <c r="X7" s="5" t="inlineStr">
        <is>
          <t>not observed</t>
        </is>
      </c>
      <c r="Y7" s="5" t="inlineStr">
        <is>
          <t>not observed</t>
        </is>
      </c>
      <c r="Z7" s="5" t="inlineStr">
        <is>
          <t>supported</t>
        </is>
      </c>
      <c r="AA7" s="5" t="inlineStr">
        <is>
          <t>Asked friend group who sent it</t>
        </is>
      </c>
      <c r="AB7" s="5" t="inlineStr">
        <is>
          <t>It just says nothing. Did it not find the cat or not find the words? No idea.</t>
        </is>
      </c>
    </row>
    <row r="8">
      <c r="A8" s="5" t="inlineStr">
        <is>
          <t>P06</t>
        </is>
      </c>
      <c r="B8" s="5" t="inlineStr">
        <is>
          <t>P06-T1</t>
        </is>
      </c>
      <c r="C8" s="5" t="n">
        <v>37</v>
      </c>
      <c r="D8" s="5" t="inlineStr">
        <is>
          <t>Mumbai</t>
        </is>
      </c>
      <c r="E8" s="5" t="inlineStr">
        <is>
          <t>Marketing manager</t>
        </is>
      </c>
      <c r="F8" s="5" t="inlineStr">
        <is>
          <t>Android</t>
        </is>
      </c>
      <c r="G8" s="5" t="n">
        <v>27000</v>
      </c>
      <c r="H8" s="5" t="inlineStr">
        <is>
          <t>weekly</t>
        </is>
      </c>
      <c r="I8" s="5" t="inlineStr">
        <is>
          <t>effortful</t>
        </is>
      </c>
      <c r="J8" s="5" t="inlineStr">
        <is>
          <t>Beagle in a marigold garland at a Udaipur wedding</t>
        </is>
      </c>
      <c r="K8" s="5" t="inlineStr">
        <is>
          <t>photo</t>
        </is>
      </c>
      <c r="L8" s="5" t="inlineStr">
        <is>
          <t>Friend's wedding; Udaipur 2022; beagle; marigold garland; fairy lights</t>
        </is>
      </c>
      <c r="M8" s="5" t="inlineStr">
        <is>
          <t>dog wearing marigold garland</t>
        </is>
      </c>
      <c r="N8" s="5" t="inlineStr">
        <is>
          <t>which wedding day; whose phone</t>
        </is>
      </c>
      <c r="O8" s="5" t="inlineStr">
        <is>
          <t>dog wedding</t>
        </is>
      </c>
      <c r="P8" s="5" t="inlineStr">
        <is>
          <t>partial</t>
        </is>
      </c>
      <c r="Q8" s="5" t="n">
        <v>2</v>
      </c>
      <c r="R8" s="5" t="inlineStr">
        <is>
          <t>search;people-group;scroll</t>
        </is>
      </c>
      <c r="S8" s="5" t="n">
        <v>420</v>
      </c>
      <c r="T8" s="5" t="inlineStr">
        <is>
          <t>found_effort</t>
        </is>
      </c>
      <c r="U8" s="5" t="inlineStr">
        <is>
          <t>D5</t>
        </is>
      </c>
      <c r="V8" s="5" t="inlineStr"/>
      <c r="W8" s="5" t="inlineStr">
        <is>
          <t>partial</t>
        </is>
      </c>
      <c r="X8" s="5" t="inlineStr">
        <is>
          <t>weakened</t>
        </is>
      </c>
      <c r="Y8" s="5" t="inlineStr">
        <is>
          <t>not observed</t>
        </is>
      </c>
      <c r="Z8" s="5" t="inlineStr">
        <is>
          <t>supported</t>
        </is>
      </c>
      <c r="AA8" s="5" t="inlineStr">
        <is>
          <t>Pivoted to the friend's face group, then scrolled</t>
        </is>
      </c>
      <c r="AB8" s="5" t="inlineStr">
        <is>
          <t>I knew three things about it. The app let me use one at a time.</t>
        </is>
      </c>
    </row>
  </sheetData>
  <autoFilter ref="A1:A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50" customWidth="1" min="16" max="16"/>
  </cols>
  <sheetData>
    <row r="1">
      <c r="A1" s="4" t="inlineStr">
        <is>
          <t>pid</t>
        </is>
      </c>
      <c r="B1" s="4" t="inlineStr">
        <is>
          <t>seeded_task</t>
        </is>
      </c>
      <c r="C1" s="4" t="inlineStr">
        <is>
          <t>first_node_in_interview</t>
        </is>
      </c>
      <c r="D1" s="4" t="inlineStr">
        <is>
          <t>order</t>
        </is>
      </c>
      <c r="E1" s="4" t="inlineStr">
        <is>
          <t>baseline_success</t>
        </is>
      </c>
      <c r="F1" s="4" t="inlineStr">
        <is>
          <t>baseline_time_s</t>
        </is>
      </c>
      <c r="G1" s="4" t="inlineStr">
        <is>
          <t>baseline_queries</t>
        </is>
      </c>
      <c r="H1" s="4" t="inlineStr">
        <is>
          <t>baseline_seq</t>
        </is>
      </c>
      <c r="I1" s="4" t="inlineStr">
        <is>
          <t>mvp_success</t>
        </is>
      </c>
      <c r="J1" s="4" t="inlineStr">
        <is>
          <t>mvp_time_s</t>
        </is>
      </c>
      <c r="K1" s="4" t="inlineStr">
        <is>
          <t>mvp_turns</t>
        </is>
      </c>
      <c r="L1" s="4" t="inlineStr">
        <is>
          <t>mvp_seq</t>
        </is>
      </c>
      <c r="M1" s="4" t="inlineStr">
        <is>
          <t>clue_prompt_added_clue</t>
        </is>
      </c>
      <c r="N1" s="4" t="inlineStr">
        <is>
          <t>used_match_chips</t>
        </is>
      </c>
      <c r="O1" s="4" t="inlineStr">
        <is>
          <t>relaxed_a_clue</t>
        </is>
      </c>
      <c r="P1" s="4" t="inlineStr">
        <is>
          <t>note</t>
        </is>
      </c>
    </row>
    <row r="2">
      <c r="A2" s="5" t="inlineStr">
        <is>
          <t>P01</t>
        </is>
      </c>
      <c r="B2" s="5" t="inlineStr">
        <is>
          <t>Cafe with a blue door, Goa</t>
        </is>
      </c>
      <c r="C2" s="5" t="inlineStr">
        <is>
          <t>D2</t>
        </is>
      </c>
      <c r="D2" s="5" t="inlineStr">
        <is>
          <t>B-M</t>
        </is>
      </c>
      <c r="E2" s="5" t="inlineStr">
        <is>
          <t>N</t>
        </is>
      </c>
      <c r="F2" s="5" t="n">
        <v>180</v>
      </c>
      <c r="G2" s="5" t="n">
        <v>4</v>
      </c>
      <c r="H2" s="5" t="n">
        <v>3</v>
      </c>
      <c r="I2" s="5" t="inlineStr">
        <is>
          <t>Y</t>
        </is>
      </c>
      <c r="J2" s="5" t="n">
        <v>52</v>
      </c>
      <c r="K2" s="5" t="n">
        <v>2</v>
      </c>
      <c r="L2" s="5" t="n">
        <v>6</v>
      </c>
      <c r="M2" s="5" t="inlineStr">
        <is>
          <t>Y</t>
        </is>
      </c>
      <c r="N2" s="5" t="inlineStr">
        <is>
          <t>Y</t>
        </is>
      </c>
      <c r="O2" s="5" t="inlineStr">
        <is>
          <t>N</t>
        </is>
      </c>
      <c r="P2" s="5" t="inlineStr">
        <is>
          <t>Clue prompt surfaced 'blue door'; target in top 3</t>
        </is>
      </c>
    </row>
    <row r="3">
      <c r="A3" s="5" t="inlineStr">
        <is>
          <t>P02</t>
        </is>
      </c>
      <c r="B3" s="5" t="inlineStr">
        <is>
          <t>Medicine strip (deliberately absent from seed)</t>
        </is>
      </c>
      <c r="C3" s="5" t="inlineStr">
        <is>
          <t>D6</t>
        </is>
      </c>
      <c r="D3" s="5" t="inlineStr">
        <is>
          <t>M-B</t>
        </is>
      </c>
      <c r="E3" s="5" t="inlineStr">
        <is>
          <t>N</t>
        </is>
      </c>
      <c r="F3" s="5" t="n">
        <v>180</v>
      </c>
      <c r="G3" s="5" t="n">
        <v>3</v>
      </c>
      <c r="H3" s="5" t="n">
        <v>2</v>
      </c>
      <c r="I3" s="5" t="inlineStr">
        <is>
          <t>Y</t>
        </is>
      </c>
      <c r="J3" s="5" t="n">
        <v>58</v>
      </c>
      <c r="K3" s="5" t="n">
        <v>2</v>
      </c>
      <c r="L3" s="5" t="n">
        <v>5</v>
      </c>
      <c r="M3" s="5" t="inlineStr">
        <is>
          <t>N</t>
        </is>
      </c>
      <c r="N3" s="5" t="inlineStr">
        <is>
          <t>Y</t>
        </is>
      </c>
      <c r="O3" s="5" t="inlineStr">
        <is>
          <t>N</t>
        </is>
      </c>
      <c r="P3" s="5" t="inlineStr">
        <is>
          <t>No item matched all clues; MVP said it may not be backed up. Counts as correct</t>
        </is>
      </c>
    </row>
    <row r="4">
      <c r="A4" s="5" t="inlineStr">
        <is>
          <t>P03</t>
        </is>
      </c>
      <c r="B4" s="5" t="inlineStr">
        <is>
          <t>Funnel whiteboard, wrong year given</t>
        </is>
      </c>
      <c r="C4" s="5" t="inlineStr">
        <is>
          <t>D5</t>
        </is>
      </c>
      <c r="D4" s="5" t="inlineStr">
        <is>
          <t>B-M</t>
        </is>
      </c>
      <c r="E4" s="5" t="inlineStr">
        <is>
          <t>N</t>
        </is>
      </c>
      <c r="F4" s="5" t="n">
        <v>180</v>
      </c>
      <c r="G4" s="5" t="n">
        <v>3</v>
      </c>
      <c r="H4" s="5" t="n">
        <v>2</v>
      </c>
      <c r="I4" s="5" t="inlineStr">
        <is>
          <t>Y</t>
        </is>
      </c>
      <c r="J4" s="5" t="n">
        <v>71</v>
      </c>
      <c r="K4" s="5" t="n">
        <v>3</v>
      </c>
      <c r="L4" s="5" t="n">
        <v>6</v>
      </c>
      <c r="M4" s="5" t="inlineStr">
        <is>
          <t>N</t>
        </is>
      </c>
      <c r="N4" s="5" t="inlineStr">
        <is>
          <t>Y</t>
        </is>
      </c>
      <c r="O4" s="5" t="inlineStr">
        <is>
          <t>Y</t>
        </is>
      </c>
      <c r="P4" s="5" t="inlineStr">
        <is>
          <t>Chip showed the year missed; relaxed to +/-1 year, found 2021</t>
        </is>
      </c>
    </row>
    <row r="5">
      <c r="A5" s="5" t="inlineStr">
        <is>
          <t>P04</t>
        </is>
      </c>
      <c r="B5" s="5" t="inlineStr">
        <is>
          <t>Car-shaped birthday cake</t>
        </is>
      </c>
      <c r="C5" s="5" t="inlineStr">
        <is>
          <t>D2</t>
        </is>
      </c>
      <c r="D5" s="5" t="inlineStr">
        <is>
          <t>M-B</t>
        </is>
      </c>
      <c r="E5" s="5" t="inlineStr">
        <is>
          <t>Y</t>
        </is>
      </c>
      <c r="F5" s="5" t="n">
        <v>164</v>
      </c>
      <c r="G5" s="5" t="n">
        <v>1</v>
      </c>
      <c r="H5" s="5" t="n">
        <v>3</v>
      </c>
      <c r="I5" s="5" t="inlineStr">
        <is>
          <t>Y</t>
        </is>
      </c>
      <c r="J5" s="5" t="n">
        <v>38</v>
      </c>
      <c r="K5" s="5" t="n">
        <v>2</v>
      </c>
      <c r="L5" s="5" t="n">
        <v>7</v>
      </c>
      <c r="M5" s="5" t="inlineStr">
        <is>
          <t>Y</t>
        </is>
      </c>
      <c r="N5" s="5" t="inlineStr">
        <is>
          <t>N</t>
        </is>
      </c>
      <c r="O5" s="5" t="inlineStr">
        <is>
          <t>N</t>
        </is>
      </c>
      <c r="P5" s="5" t="inlineStr">
        <is>
          <t>Typed a full sentence: 'that is how I talk'</t>
        </is>
      </c>
    </row>
    <row r="6">
      <c r="A6" s="5" t="inlineStr">
        <is>
          <t>P05</t>
        </is>
      </c>
      <c r="B6" s="5" t="inlineStr">
        <is>
          <t>Cat meme, paraphrased wording</t>
        </is>
      </c>
      <c r="C6" s="5" t="inlineStr">
        <is>
          <t>D3</t>
        </is>
      </c>
      <c r="D6" s="5" t="inlineStr">
        <is>
          <t>B-M</t>
        </is>
      </c>
      <c r="E6" s="5" t="inlineStr">
        <is>
          <t>N</t>
        </is>
      </c>
      <c r="F6" s="5" t="n">
        <v>180</v>
      </c>
      <c r="G6" s="5" t="n">
        <v>5</v>
      </c>
      <c r="H6" s="5" t="n">
        <v>2</v>
      </c>
      <c r="I6" s="5" t="inlineStr">
        <is>
          <t>Y</t>
        </is>
      </c>
      <c r="J6" s="5" t="n">
        <v>88</v>
      </c>
      <c r="K6" s="5" t="n">
        <v>3</v>
      </c>
      <c r="L6" s="5" t="n">
        <v>5</v>
      </c>
      <c r="M6" s="5" t="inlineStr">
        <is>
          <t>N</t>
        </is>
      </c>
      <c r="N6" s="5" t="inlineStr">
        <is>
          <t>Y</t>
        </is>
      </c>
      <c r="O6" s="5" t="inlineStr">
        <is>
          <t>Y</t>
        </is>
      </c>
      <c r="P6" s="5" t="inlineStr">
        <is>
          <t>Chips: cat matched, words missed; dropped the wording clue</t>
        </is>
      </c>
    </row>
    <row r="7">
      <c r="A7" s="5" t="inlineStr">
        <is>
          <t>P06</t>
        </is>
      </c>
      <c r="B7" s="5" t="inlineStr">
        <is>
          <t>Beagle in a marigold garland</t>
        </is>
      </c>
      <c r="C7" s="5" t="inlineStr">
        <is>
          <t>D5</t>
        </is>
      </c>
      <c r="D7" s="5" t="inlineStr">
        <is>
          <t>M-B</t>
        </is>
      </c>
      <c r="E7" s="5" t="inlineStr">
        <is>
          <t>Y</t>
        </is>
      </c>
      <c r="F7" s="5" t="n">
        <v>151</v>
      </c>
      <c r="G7" s="5" t="n">
        <v>3</v>
      </c>
      <c r="H7" s="5" t="n">
        <v>4</v>
      </c>
      <c r="I7" s="5" t="inlineStr">
        <is>
          <t>Y</t>
        </is>
      </c>
      <c r="J7" s="5" t="n">
        <v>41</v>
      </c>
      <c r="K7" s="5" t="n">
        <v>1</v>
      </c>
      <c r="L7" s="5" t="n">
        <v>7</v>
      </c>
      <c r="M7" s="5" t="inlineStr">
        <is>
          <t>N</t>
        </is>
      </c>
      <c r="N7" s="5" t="inlineStr">
        <is>
          <t>Y</t>
        </is>
      </c>
      <c r="O7" s="5" t="inlineStr">
        <is>
          <t>N</t>
        </is>
      </c>
      <c r="P7" s="5" t="inlineStr">
        <is>
          <t>Combined three clues in one message</t>
        </is>
      </c>
    </row>
  </sheetData>
  <autoFilter ref="A1:P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</cols>
  <sheetData>
    <row r="1">
      <c r="A1" s="6" t="inlineStr">
        <is>
          <t>Sample</t>
        </is>
      </c>
      <c r="B1" s="6" t="inlineStr">
        <is>
          <t>Value</t>
        </is>
      </c>
      <c r="C1" s="6" t="n"/>
    </row>
    <row r="2">
      <c r="A2" s="7" t="inlineStr">
        <is>
          <t>Participants</t>
        </is>
      </c>
      <c r="B2" s="8">
        <f>SUMPRODUCT(1/COUNTIF(Interviews!$A$2:$A$8,Interviews!$A$2:$A$8))</f>
        <v/>
      </c>
    </row>
    <row r="3">
      <c r="A3" s="7" t="inlineStr">
        <is>
          <t>Observed tasks</t>
        </is>
      </c>
      <c r="B3" s="8">
        <f>COUNTA(Interviews!$A$2:$A$8)</f>
        <v/>
      </c>
    </row>
    <row r="4">
      <c r="A4" s="7" t="inlineStr">
        <is>
          <t>Effortful or failed incidents</t>
        </is>
      </c>
      <c r="B4" s="8">
        <f>COUNTIF(Interviews!$U$2:$U$8,"&lt;&gt;none")</f>
        <v/>
      </c>
    </row>
    <row r="5">
      <c r="A5" s="7" t="inlineStr">
        <is>
          <t>First query omitted or only partly used the distinctive clue</t>
        </is>
      </c>
      <c r="B5" s="8">
        <f>COUNTIFS(Interviews!$P$2:$P$8,"&lt;&gt;Y",Interviews!$U$2:$U$8,"&lt;&gt;none")</f>
        <v/>
      </c>
    </row>
    <row r="6">
      <c r="A6" s="7" t="inlineStr">
        <is>
          <t>Median time, effortful or failed (s)</t>
        </is>
      </c>
      <c r="B6" s="8">
        <f t="array" ref="B6">MEDIAN(IF(Interviews!$U$2:$U$8&lt;&gt;"none",Interviews!$S$2:$S$8))</f>
        <v/>
      </c>
    </row>
    <row r="7">
      <c r="A7" s="7" t="inlineStr">
        <is>
          <t>Median time, quick success (s)</t>
        </is>
      </c>
      <c r="B7" s="8">
        <f t="array" ref="B7">MEDIAN(IF(Interviews!$T$2:$T$8="found_quick",Interviews!$S$2:$S$8))</f>
        <v/>
      </c>
    </row>
    <row r="8">
      <c r="A8" s="6" t="inlineStr">
        <is>
          <t>First failing node</t>
        </is>
      </c>
      <c r="B8" s="6" t="inlineStr">
        <is>
          <t>Incidents</t>
        </is>
      </c>
      <c r="C8" s="6" t="n"/>
    </row>
    <row r="9">
      <c r="A9" s="7" t="inlineStr">
        <is>
          <t>D1 Recall</t>
        </is>
      </c>
      <c r="B9" s="8">
        <f>COUNTIF(Interviews!$U$2:$U$8,"D1")</f>
        <v/>
      </c>
    </row>
    <row r="10">
      <c r="A10" s="7" t="inlineStr">
        <is>
          <t>D2 Express</t>
        </is>
      </c>
      <c r="B10" s="8">
        <f>COUNTIF(Interviews!$U$2:$U$8,"D2")</f>
        <v/>
      </c>
    </row>
    <row r="11">
      <c r="A11" s="7" t="inlineStr">
        <is>
          <t>D3 Understand &amp; match</t>
        </is>
      </c>
      <c r="B11" s="8">
        <f>COUNTIF(Interviews!$U$2:$U$8,"D3")</f>
        <v/>
      </c>
    </row>
    <row r="12">
      <c r="A12" s="7" t="inlineStr">
        <is>
          <t>D4 Evaluate</t>
        </is>
      </c>
      <c r="B12" s="8">
        <f>COUNTIF(Interviews!$U$2:$U$8,"D4")</f>
        <v/>
      </c>
    </row>
    <row r="13">
      <c r="A13" s="7" t="inlineStr">
        <is>
          <t>D5 Refine</t>
        </is>
      </c>
      <c r="B13" s="8">
        <f>COUNTIF(Interviews!$U$2:$U$8,"D5")</f>
        <v/>
      </c>
    </row>
    <row r="14">
      <c r="A14" s="7" t="inlineStr">
        <is>
          <t>D6 Available</t>
        </is>
      </c>
      <c r="B14" s="8">
        <f>COUNTIF(Interviews!$U$2:$U$8,"D6")</f>
        <v/>
      </c>
    </row>
    <row r="15">
      <c r="A15" s="6" t="inlineStr">
        <is>
          <t>Outcome</t>
        </is>
      </c>
      <c r="B15" s="6" t="inlineStr">
        <is>
          <t>Tasks</t>
        </is>
      </c>
      <c r="C15" s="6" t="n"/>
    </row>
    <row r="16">
      <c r="A16" s="7" t="inlineStr">
        <is>
          <t>found_quick</t>
        </is>
      </c>
      <c r="B16" s="8">
        <f>COUNTIF(Interviews!$T$2:$T$8,"found_quick")</f>
        <v/>
      </c>
    </row>
    <row r="17">
      <c r="A17" s="7" t="inlineStr">
        <is>
          <t>found_effort</t>
        </is>
      </c>
      <c r="B17" s="8">
        <f>COUNTIF(Interviews!$T$2:$T$8,"found_effort")</f>
        <v/>
      </c>
    </row>
    <row r="18">
      <c r="A18" s="7" t="inlineStr">
        <is>
          <t>found_outside</t>
        </is>
      </c>
      <c r="B18" s="8">
        <f>COUNTIF(Interviews!$T$2:$T$8,"found_outside")</f>
        <v/>
      </c>
    </row>
    <row r="19">
      <c r="A19" s="7" t="inlineStr">
        <is>
          <t>not_in_library</t>
        </is>
      </c>
      <c r="B19" s="8">
        <f>COUNTIF(Interviews!$T$2:$T$8,"not_in_library")</f>
        <v/>
      </c>
    </row>
    <row r="20">
      <c r="A20" s="6" t="inlineStr">
        <is>
          <t>MVP task test</t>
        </is>
      </c>
      <c r="B20" s="6" t="inlineStr">
        <is>
          <t>Baseline</t>
        </is>
      </c>
      <c r="C20" s="6" t="inlineStr">
        <is>
          <t>MVP</t>
        </is>
      </c>
    </row>
    <row r="21">
      <c r="A21" s="7" t="inlineStr">
        <is>
          <t>Found within 180 s</t>
        </is>
      </c>
      <c r="B21" s="8">
        <f>COUNTIF(MVP_Test!$E$2:$E$7,"Y")</f>
        <v/>
      </c>
      <c r="C21" s="8">
        <f>COUNTIF(MVP_Test!$I$2:$I$7,"Y")</f>
        <v/>
      </c>
    </row>
    <row r="22">
      <c r="A22" s="7" t="inlineStr">
        <is>
          <t>Median time (s, capped at 180)</t>
        </is>
      </c>
      <c r="B22" s="8">
        <f>MEDIAN(MVP_Test!$F$2:$F$7)</f>
        <v/>
      </c>
      <c r="C22" s="8">
        <f>MEDIAN(MVP_Test!$J$2:$J$7)</f>
        <v/>
      </c>
    </row>
    <row r="23">
      <c r="A23" s="7" t="inlineStr">
        <is>
          <t>Median queries (baseline) / turns (MVP)</t>
        </is>
      </c>
      <c r="B23" s="8">
        <f>MEDIAN(MVP_Test!$G$2:$G$7)</f>
        <v/>
      </c>
      <c r="C23" s="8">
        <f>MEDIAN(MVP_Test!$K$2:$K$7)</f>
        <v/>
      </c>
    </row>
    <row r="24">
      <c r="A24" s="7" t="inlineStr">
        <is>
          <t>Mean ease, SEQ 1 to 7</t>
        </is>
      </c>
      <c r="B24" s="9">
        <f>AVERAGE(MVP_Test!$H$2:$H$7)</f>
        <v/>
      </c>
      <c r="C24" s="9">
        <f>AVERAGE(MVP_Test!$L$2:$L$7)</f>
        <v/>
      </c>
    </row>
    <row r="25">
      <c r="A25" s="7" t="inlineStr">
        <is>
          <t>Clue prompt drew out an untyped clue</t>
        </is>
      </c>
      <c r="C25" s="8">
        <f>COUNTIF(MVP_Test!$M$2:$M$7,"Y")</f>
        <v/>
      </c>
    </row>
    <row r="26">
      <c r="A26" s="7" t="inlineStr">
        <is>
          <t>Used matched / missed chips</t>
        </is>
      </c>
      <c r="C26" s="8">
        <f>COUNTIF(MVP_Test!$N$2:$N$7,"Y")</f>
        <v/>
      </c>
    </row>
    <row r="27">
      <c r="A27" s="7" t="inlineStr">
        <is>
          <t>Relaxed a clue</t>
        </is>
      </c>
      <c r="C27" s="8">
        <f>COUNTIF(MVP_Test!$O$2:$O$7,"Y")</f>
        <v/>
      </c>
    </row>
    <row r="29">
      <c r="A29" s="10" t="inlineStr">
        <is>
          <t>All values are live formulas over the Interviews and MVP_Test sheets.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00" customWidth="1" min="3" max="3"/>
  </cols>
  <sheetData>
    <row r="1">
      <c r="A1" s="4" t="inlineStr">
        <is>
          <t>column</t>
        </is>
      </c>
      <c r="B1" s="4" t="inlineStr">
        <is>
          <t>sheet</t>
        </is>
      </c>
      <c r="C1" s="4" t="inlineStr">
        <is>
          <t>meaning</t>
        </is>
      </c>
    </row>
    <row r="2">
      <c r="A2" s="5" t="inlineStr">
        <is>
          <t>pid</t>
        </is>
      </c>
      <c r="B2" s="5" t="inlineStr">
        <is>
          <t>Interviews</t>
        </is>
      </c>
      <c r="C2" s="5" t="inlineStr">
        <is>
          <t>Participant ID (synthetic persona)</t>
        </is>
      </c>
    </row>
    <row r="3">
      <c r="A3" s="5" t="inlineStr">
        <is>
          <t>task_id</t>
        </is>
      </c>
      <c r="B3" s="5" t="inlineStr">
        <is>
          <t>Interviews</t>
        </is>
      </c>
      <c r="C3" s="5" t="inlineStr">
        <is>
          <t>Task ID. P03-T1 is the quick-success contrast task; every other row is the participant's recalled incident</t>
        </is>
      </c>
    </row>
    <row r="4">
      <c r="A4" s="5" t="inlineStr">
        <is>
          <t>age</t>
        </is>
      </c>
      <c r="B4" s="5" t="inlineStr">
        <is>
          <t>Interviews</t>
        </is>
      </c>
      <c r="C4" s="5" t="inlineStr">
        <is>
          <t>Age in years</t>
        </is>
      </c>
    </row>
    <row r="5">
      <c r="A5" s="5" t="inlineStr">
        <is>
          <t>city</t>
        </is>
      </c>
      <c r="B5" s="5" t="inlineStr">
        <is>
          <t>Interviews</t>
        </is>
      </c>
      <c r="C5" s="5" t="inlineStr">
        <is>
          <t>City (India)</t>
        </is>
      </c>
    </row>
    <row r="6">
      <c r="A6" s="5" t="inlineStr">
        <is>
          <t>occupation</t>
        </is>
      </c>
      <c r="B6" s="5" t="inlineStr">
        <is>
          <t>Interviews</t>
        </is>
      </c>
      <c r="C6" s="5" t="inlineStr">
        <is>
          <t>Occupation</t>
        </is>
      </c>
    </row>
    <row r="7">
      <c r="A7" s="5" t="inlineStr">
        <is>
          <t>device</t>
        </is>
      </c>
      <c r="B7" s="5" t="inlineStr">
        <is>
          <t>Interviews</t>
        </is>
      </c>
      <c r="C7" s="5" t="inlineStr">
        <is>
          <t>Phone platform</t>
        </is>
      </c>
    </row>
    <row r="8">
      <c r="A8" s="5" t="inlineStr">
        <is>
          <t>library_items</t>
        </is>
      </c>
      <c r="B8" s="5" t="inlineStr">
        <is>
          <t>Interviews</t>
        </is>
      </c>
      <c r="C8" s="5" t="inlineStr">
        <is>
          <t>Approximate photos and videos in the Google Photos library</t>
        </is>
      </c>
    </row>
    <row r="9">
      <c r="A9" s="5" t="inlineStr">
        <is>
          <t>search_freq</t>
        </is>
      </c>
      <c r="B9" s="5" t="inlineStr">
        <is>
          <t>Interviews</t>
        </is>
      </c>
      <c r="C9" s="5" t="inlineStr">
        <is>
          <t>Self-reported search frequency</t>
        </is>
      </c>
    </row>
    <row r="10">
      <c r="A10" s="5" t="inlineStr">
        <is>
          <t>screener_group</t>
        </is>
      </c>
      <c r="B10" s="5" t="inlineStr">
        <is>
          <t>Interviews</t>
        </is>
      </c>
      <c r="C10" s="5" t="inlineStr">
        <is>
          <t>Screener quota group: effortful, failed, heavy_library</t>
        </is>
      </c>
    </row>
    <row r="11">
      <c r="A11" s="5" t="inlineStr">
        <is>
          <t>task</t>
        </is>
      </c>
      <c r="B11" s="5" t="inlineStr">
        <is>
          <t>Interviews</t>
        </is>
      </c>
      <c r="C11" s="5" t="inlineStr">
        <is>
          <t>The photo the participant was trying to find</t>
        </is>
      </c>
    </row>
    <row r="12">
      <c r="A12" s="5" t="inlineStr">
        <is>
          <t>object_type</t>
        </is>
      </c>
      <c r="B12" s="5" t="inlineStr">
        <is>
          <t>Interviews</t>
        </is>
      </c>
      <c r="C12" s="5" t="inlineStr">
        <is>
          <t>photo, screenshot, document or video</t>
        </is>
      </c>
    </row>
    <row r="13">
      <c r="A13" s="5" t="inlineStr">
        <is>
          <t>remembered</t>
        </is>
      </c>
      <c r="B13" s="5" t="inlineStr">
        <is>
          <t>Interviews</t>
        </is>
      </c>
      <c r="C13" s="5" t="inlineStr">
        <is>
          <t>What they remembered at the start</t>
        </is>
      </c>
    </row>
    <row r="14">
      <c r="A14" s="5" t="inlineStr">
        <is>
          <t>distinctive_clue</t>
        </is>
      </c>
      <c r="B14" s="5" t="inlineStr">
        <is>
          <t>Interviews</t>
        </is>
      </c>
      <c r="C14" s="5" t="inlineStr">
        <is>
          <t>Their most distinctive remembered clue</t>
        </is>
      </c>
    </row>
    <row r="15">
      <c r="A15" s="5" t="inlineStr">
        <is>
          <t>forgotten</t>
        </is>
      </c>
      <c r="B15" s="5" t="inlineStr">
        <is>
          <t>Interviews</t>
        </is>
      </c>
      <c r="C15" s="5" t="inlineStr">
        <is>
          <t>What they could not recall</t>
        </is>
      </c>
    </row>
    <row r="16">
      <c r="A16" s="5" t="inlineStr">
        <is>
          <t>first_query</t>
        </is>
      </c>
      <c r="B16" s="5" t="inlineStr">
        <is>
          <t>Interviews</t>
        </is>
      </c>
      <c r="C16" s="5" t="inlineStr">
        <is>
          <t>Exact first query typed (or 'none' if they scrolled)</t>
        </is>
      </c>
    </row>
    <row r="17">
      <c r="A17" s="5" t="inlineStr">
        <is>
          <t>used_distinctive</t>
        </is>
      </c>
      <c r="B17" s="5" t="inlineStr">
        <is>
          <t>Interviews</t>
        </is>
      </c>
      <c r="C17" s="5" t="inlineStr">
        <is>
          <t>Did the first query contain the distinctive clue? Y / N / partial</t>
        </is>
      </c>
    </row>
    <row r="18">
      <c r="A18" s="5" t="inlineStr">
        <is>
          <t>queries</t>
        </is>
      </c>
      <c r="B18" s="5" t="inlineStr">
        <is>
          <t>Interviews</t>
        </is>
      </c>
      <c r="C18" s="5" t="inlineStr">
        <is>
          <t>Number of queries typed</t>
        </is>
      </c>
    </row>
    <row r="19">
      <c r="A19" s="5" t="inlineStr">
        <is>
          <t>strategies</t>
        </is>
      </c>
      <c r="B19" s="5" t="inlineStr">
        <is>
          <t>Interviews</t>
        </is>
      </c>
      <c r="C19" s="5" t="inlineStr">
        <is>
          <t>Strategies used, in order (semicolon-separated)</t>
        </is>
      </c>
    </row>
    <row r="20">
      <c r="A20" s="5" t="inlineStr">
        <is>
          <t>time_s</t>
        </is>
      </c>
      <c r="B20" s="5" t="inlineStr">
        <is>
          <t>Interviews</t>
        </is>
      </c>
      <c r="C20" s="5" t="inlineStr">
        <is>
          <t>Time to resolution in seconds</t>
        </is>
      </c>
    </row>
    <row r="21">
      <c r="A21" s="5" t="inlineStr">
        <is>
          <t>outcome</t>
        </is>
      </c>
      <c r="B21" s="5" t="inlineStr">
        <is>
          <t>Interviews</t>
        </is>
      </c>
      <c r="C21" s="5" t="inlineStr">
        <is>
          <t>found_quick, found_effort, found_outside (via another app or person), not_in_library</t>
        </is>
      </c>
    </row>
    <row r="22">
      <c r="A22" s="5" t="inlineStr">
        <is>
          <t>first_failing_node</t>
        </is>
      </c>
      <c r="B22" s="5" t="inlineStr">
        <is>
          <t>Interviews</t>
        </is>
      </c>
      <c r="C22" s="5" t="inlineStr">
        <is>
          <t>First retrieval step that failed: D1 Recall, D2 Express, D3 Understand &amp; match, D4 Evaluate, D5 Refine, D6 Available; 'none' if it succeeded</t>
        </is>
      </c>
    </row>
    <row r="23">
      <c r="A23" s="5" t="inlineStr">
        <is>
          <t>secondary_node</t>
        </is>
      </c>
      <c r="B23" s="5" t="inlineStr">
        <is>
          <t>Interviews</t>
        </is>
      </c>
      <c r="C23" s="5" t="inlineStr">
        <is>
          <t>A second step that also failed, if any</t>
        </is>
      </c>
    </row>
    <row r="24">
      <c r="A24" s="5" t="inlineStr">
        <is>
          <t>H1_expression</t>
        </is>
      </c>
      <c r="B24" s="5" t="inlineStr">
        <is>
          <t>Interviews</t>
        </is>
      </c>
      <c r="C24" s="5" t="inlineStr">
        <is>
          <t>H1 memory richer than expressed</t>
        </is>
      </c>
    </row>
    <row r="25">
      <c r="A25" s="5" t="inlineStr">
        <is>
          <t>H2_recognition</t>
        </is>
      </c>
      <c r="B25" s="5" t="inlineStr">
        <is>
          <t>Interviews</t>
        </is>
      </c>
      <c r="C25" s="5" t="inlineStr">
        <is>
          <t>H2 target present but not recognised</t>
        </is>
      </c>
    </row>
    <row r="26">
      <c r="A26" s="5" t="inlineStr">
        <is>
          <t>H3_time_scope</t>
        </is>
      </c>
      <c r="B26" s="5" t="inlineStr">
        <is>
          <t>Interviews</t>
        </is>
      </c>
      <c r="C26" s="5" t="inlineStr">
        <is>
          <t>H3 date used because easy, not reliable</t>
        </is>
      </c>
    </row>
    <row r="27">
      <c r="A27" s="5" t="inlineStr">
        <is>
          <t>H4_unguided_recovery</t>
        </is>
      </c>
      <c r="B27" s="5" t="inlineStr">
        <is>
          <t>Interviews</t>
        </is>
      </c>
      <c r="C27" s="5" t="inlineStr">
        <is>
          <t>H4 no signal on why a query missed</t>
        </is>
      </c>
    </row>
    <row r="28">
      <c r="A28" s="5" t="inlineStr">
        <is>
          <t>workaround</t>
        </is>
      </c>
      <c r="B28" s="5" t="inlineStr">
        <is>
          <t>Interviews</t>
        </is>
      </c>
      <c r="C28" s="5" t="inlineStr">
        <is>
          <t>What they did instead</t>
        </is>
      </c>
    </row>
    <row r="29">
      <c r="A29" s="5" t="inlineStr">
        <is>
          <t>quote</t>
        </is>
      </c>
      <c r="B29" s="5" t="inlineStr">
        <is>
          <t>Interviews</t>
        </is>
      </c>
      <c r="C29" s="5" t="inlineStr">
        <is>
          <t>Verbatim quote (synthetic)</t>
        </is>
      </c>
    </row>
    <row r="30">
      <c r="A30" s="5" t="inlineStr">
        <is>
          <t>seeded_task</t>
        </is>
      </c>
      <c r="B30" s="5" t="inlineStr">
        <is>
          <t>MVP_Test</t>
        </is>
      </c>
      <c r="C30" s="5" t="inlineStr">
        <is>
          <t>MVP test: the participant's incident rebuilt in a seeded test library</t>
        </is>
      </c>
    </row>
    <row r="31">
      <c r="A31" s="5" t="inlineStr">
        <is>
          <t>first_node_in_interview</t>
        </is>
      </c>
      <c r="B31" s="5" t="inlineStr">
        <is>
          <t>MVP_Test</t>
        </is>
      </c>
      <c r="C31" s="5" t="inlineStr">
        <is>
          <t>First failing node from the interview</t>
        </is>
      </c>
    </row>
    <row r="32">
      <c r="A32" s="5" t="inlineStr">
        <is>
          <t>order</t>
        </is>
      </c>
      <c r="B32" s="5" t="inlineStr">
        <is>
          <t>MVP_Test</t>
        </is>
      </c>
      <c r="C32" s="5" t="inlineStr">
        <is>
          <t>B-M = baseline first, then MVP; M-B = MVP first</t>
        </is>
      </c>
    </row>
    <row r="33">
      <c r="A33" s="5" t="inlineStr">
        <is>
          <t>baseline_success</t>
        </is>
      </c>
      <c r="B33" s="5" t="inlineStr">
        <is>
          <t>MVP_Test</t>
        </is>
      </c>
      <c r="C33" s="5" t="inlineStr">
        <is>
          <t>Found with keyword search + timeline within 180 s (Y/N)</t>
        </is>
      </c>
    </row>
    <row r="34">
      <c r="A34" s="5" t="inlineStr">
        <is>
          <t>baseline_time_s</t>
        </is>
      </c>
      <c r="B34" s="5" t="inlineStr">
        <is>
          <t>MVP_Test</t>
        </is>
      </c>
      <c r="C34" s="5" t="inlineStr">
        <is>
          <t>Baseline time, seconds (capped at 180)</t>
        </is>
      </c>
    </row>
    <row r="35">
      <c r="A35" s="5" t="inlineStr">
        <is>
          <t>baseline_queries</t>
        </is>
      </c>
      <c r="B35" s="5" t="inlineStr">
        <is>
          <t>MVP_Test</t>
        </is>
      </c>
      <c r="C35" s="5" t="inlineStr">
        <is>
          <t>Baseline queries typed</t>
        </is>
      </c>
    </row>
    <row r="36">
      <c r="A36" s="5" t="inlineStr">
        <is>
          <t>baseline_seq</t>
        </is>
      </c>
      <c r="B36" s="5" t="inlineStr">
        <is>
          <t>MVP_Test</t>
        </is>
      </c>
      <c r="C36" s="5" t="inlineStr">
        <is>
          <t>Baseline ease, Single Ease Question 1 (very hard) to 7 (very easy)</t>
        </is>
      </c>
    </row>
    <row r="37">
      <c r="A37" s="5" t="inlineStr">
        <is>
          <t>mvp_success</t>
        </is>
      </c>
      <c r="B37" s="5" t="inlineStr">
        <is>
          <t>MVP_Test</t>
        </is>
      </c>
      <c r="C37" s="5" t="inlineStr">
        <is>
          <t>Found with the clue-guided MVP within 180 s (Y/N). P02: target deliberately absent; Y = MVP correctly said it may not be in the library</t>
        </is>
      </c>
    </row>
    <row r="38">
      <c r="A38" s="5" t="inlineStr">
        <is>
          <t>mvp_time_s</t>
        </is>
      </c>
      <c r="B38" s="5" t="inlineStr">
        <is>
          <t>MVP_Test</t>
        </is>
      </c>
      <c r="C38" s="5" t="inlineStr">
        <is>
          <t>MVP time, seconds (capped at 180)</t>
        </is>
      </c>
    </row>
    <row r="39">
      <c r="A39" s="5" t="inlineStr">
        <is>
          <t>mvp_turns</t>
        </is>
      </c>
      <c r="B39" s="5" t="inlineStr">
        <is>
          <t>MVP_Test</t>
        </is>
      </c>
      <c r="C39" s="5" t="inlineStr">
        <is>
          <t>MVP conversation turns</t>
        </is>
      </c>
    </row>
    <row r="40">
      <c r="A40" s="5" t="inlineStr">
        <is>
          <t>mvp_seq</t>
        </is>
      </c>
      <c r="B40" s="5" t="inlineStr">
        <is>
          <t>MVP_Test</t>
        </is>
      </c>
      <c r="C40" s="5" t="inlineStr">
        <is>
          <t>MVP ease, SEQ 1 to 7</t>
        </is>
      </c>
    </row>
    <row r="41">
      <c r="A41" s="5" t="inlineStr">
        <is>
          <t>clue_prompt_added_clue</t>
        </is>
      </c>
      <c r="B41" s="5" t="inlineStr">
        <is>
          <t>MVP_Test</t>
        </is>
      </c>
      <c r="C41" s="5" t="inlineStr">
        <is>
          <t>The MVP's follow-up question drew out a clue the participant had not typed (Y/N)</t>
        </is>
      </c>
    </row>
    <row r="42">
      <c r="A42" s="5" t="inlineStr">
        <is>
          <t>used_match_chips</t>
        </is>
      </c>
      <c r="B42" s="5" t="inlineStr">
        <is>
          <t>MVP_Test</t>
        </is>
      </c>
      <c r="C42" s="5" t="inlineStr">
        <is>
          <t>Used the matched / missed clue chips (Y/N)</t>
        </is>
      </c>
    </row>
    <row r="43">
      <c r="A43" s="5" t="inlineStr">
        <is>
          <t>relaxed_a_clue</t>
        </is>
      </c>
      <c r="B43" s="5" t="inlineStr">
        <is>
          <t>MVP_Test</t>
        </is>
      </c>
      <c r="C43" s="5" t="inlineStr">
        <is>
          <t>Used one-tap clue relaxing (Y/N)</t>
        </is>
      </c>
    </row>
    <row r="44">
      <c r="A44" s="5" t="inlineStr">
        <is>
          <t>note</t>
        </is>
      </c>
      <c r="B44" s="5" t="inlineStr">
        <is>
          <t>MVP_Test</t>
        </is>
      </c>
      <c r="C44" s="5" t="inlineStr">
        <is>
          <t>Observer note</t>
        </is>
      </c>
    </row>
  </sheetData>
  <autoFilter ref="A1:C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2026-09-22T16:19:41Z</dcterms:created>
  <dcterms:modified xmlns:dcterms="http://purl.org/dc/terms/" xmlns:xsi="http://www.w3.org/2001/XMLSchema-instance" xsi:type="dcterms:W3CDTF">2026-09-22T16:19:41Z</dcterms:modified>
</cp:coreProperties>
</file>